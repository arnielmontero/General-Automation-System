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elopment\General-Automation-System\docs\system_001\"/>
    </mc:Choice>
  </mc:AlternateContent>
  <xr:revisionPtr revIDLastSave="0" documentId="8_{C3B5FF5F-0100-4D51-BB40-E9D2DFCE3E91}" xr6:coauthVersionLast="47" xr6:coauthVersionMax="47" xr10:uidLastSave="{00000000-0000-0000-0000-000000000000}"/>
  <bookViews>
    <workbookView xWindow="-120" yWindow="-120" windowWidth="29040" windowHeight="15720" xr2:uid="{6DD38C13-CC23-4393-9953-679792EEF13D}"/>
  </bookViews>
  <sheets>
    <sheet name="Summary" sheetId="3" r:id="rId1"/>
    <sheet name="Shipment Status" sheetId="2" r:id="rId2"/>
    <sheet name="Details" sheetId="1" r:id="rId3"/>
  </sheets>
  <definedNames>
    <definedName name="_xlnm._FilterDatabase" localSheetId="2" hidden="1">Details!$A$5:$H$47</definedName>
    <definedName name="_xlnm._FilterDatabase" localSheetId="1" hidden="1">'Shipment Status'!$A$5:$L$31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I17" i="3"/>
  <c r="H17" i="3"/>
  <c r="G17" i="3"/>
  <c r="F17" i="3"/>
  <c r="E17" i="3"/>
  <c r="D17" i="3"/>
  <c r="C17" i="3"/>
</calcChain>
</file>

<file path=xl/sharedStrings.xml><?xml version="1.0" encoding="utf-8"?>
<sst xmlns="http://schemas.openxmlformats.org/spreadsheetml/2006/main" count="580" uniqueCount="219">
  <si>
    <t>Shipment Readiness - Summary</t>
  </si>
  <si>
    <t>Generated: 19-Oct-2026 11:30   |   Odoo user: Arniel Montero   |   Source: Packing_S08786.pdf (sample)</t>
  </si>
  <si>
    <t>SAMPLE LAYOUT - only the first two MOs (PL3/MO/06873, PL3/MO/07787) come from your screenshots; all other MO / transfer values are invented to show the format.</t>
  </si>
  <si>
    <t>Sales Order</t>
  </si>
  <si>
    <t>Customer</t>
  </si>
  <si>
    <t>Lines</t>
  </si>
  <si>
    <t>Ready to ship</t>
  </si>
  <si>
    <t>In production</t>
  </si>
  <si>
    <t>Ready to produce</t>
  </si>
  <si>
    <t>Waiting components</t>
  </si>
  <si>
    <t>Problem</t>
  </si>
  <si>
    <t>Not manufactured</t>
  </si>
  <si>
    <t>% Ready to ship</t>
  </si>
  <si>
    <t>S04743</t>
  </si>
  <si>
    <t>Wellzijn BV</t>
  </si>
  <si>
    <t>S04747</t>
  </si>
  <si>
    <t>(customer from Odoo)</t>
  </si>
  <si>
    <t>S04752</t>
  </si>
  <si>
    <t>S04757</t>
  </si>
  <si>
    <t>S05062</t>
  </si>
  <si>
    <t>S05270</t>
  </si>
  <si>
    <t>S06638</t>
  </si>
  <si>
    <t>S06907</t>
  </si>
  <si>
    <t>S08027</t>
  </si>
  <si>
    <t>S08617</t>
  </si>
  <si>
    <t>S08750</t>
  </si>
  <si>
    <t>TOTAL</t>
  </si>
  <si>
    <t>Legend - Readiness</t>
  </si>
  <si>
    <t>MO Done and finished product stored (SFP Done)</t>
  </si>
  <si>
    <t>MO In Progress - components picked, being built</t>
  </si>
  <si>
    <t>MO Confirmed, components available, not started yet</t>
  </si>
  <si>
    <t>MO Confirmed but components Not Available</t>
  </si>
  <si>
    <t>No open MO, only cancelled MO, or MO qty short vs packing list</t>
  </si>
  <si>
    <t>Purchased / stock item (freight, valves, kits) - no MO expected</t>
  </si>
  <si>
    <t>Shipment Readiness - Line Status</t>
  </si>
  <si>
    <t>Invoice No</t>
  </si>
  <si>
    <t>External Code</t>
  </si>
  <si>
    <t>Description</t>
  </si>
  <si>
    <t>Qty</t>
  </si>
  <si>
    <t>MO Ref</t>
  </si>
  <si>
    <t>MO Qty</t>
  </si>
  <si>
    <t>MO State</t>
  </si>
  <si>
    <t>Component Status</t>
  </si>
  <si>
    <t>Picking Components (PC)</t>
  </si>
  <si>
    <t>Store Finished Product (SFP)</t>
  </si>
  <si>
    <t>Readiness</t>
  </si>
  <si>
    <t>Notes</t>
  </si>
  <si>
    <t>NRNS-60NS-BL-Z-C</t>
  </si>
  <si>
    <t>Nordex S Black 3H.E 6,0kW NS Trendline 3P-1P</t>
  </si>
  <si>
    <t>PL3/MO/06873</t>
  </si>
  <si>
    <t>Confirmed</t>
  </si>
  <si>
    <t>Not Available</t>
  </si>
  <si>
    <t>PL3/PC/17852 (Ready), PL3/PC/05565 (Done)</t>
  </si>
  <si>
    <t>PL3/SFP/04631 (Waiting Another Operation)</t>
  </si>
  <si>
    <t>MO qty 30 &gt; line qty 10 (MO shared with other lines)</t>
  </si>
  <si>
    <t>NRNS-90NS-BL-Z-C</t>
  </si>
  <si>
    <t>Nordex S Black 3H.E 9,0kW NS Trendline 3P-1P</t>
  </si>
  <si>
    <t>PL3/MO/07787</t>
  </si>
  <si>
    <t>PL3/PC/17855 (Waiting)</t>
  </si>
  <si>
    <t>PL3/SFP/04633 (Waiting Another Operation)</t>
  </si>
  <si>
    <t>MO qty 50 &gt; line qty 10 (MO shared with other lines)</t>
  </si>
  <si>
    <t>NRNF-105NS-BL-Z</t>
  </si>
  <si>
    <t>Nordex Floor Black 6H.E 10,5kW NS Trendline</t>
  </si>
  <si>
    <t>PL3/MO/06890</t>
  </si>
  <si>
    <t>Done</t>
  </si>
  <si>
    <t>Available</t>
  </si>
  <si>
    <t>PL3/PC/18100 (Done)</t>
  </si>
  <si>
    <t>PL3/SFP/04800 (Done)</t>
  </si>
  <si>
    <t>NRNF-120NS-BL-Z</t>
  </si>
  <si>
    <t>Nordex Floor Black 6H.E 12,0kW NS Trendline</t>
  </si>
  <si>
    <t>PL3/MO/06891</t>
  </si>
  <si>
    <t>In Progress</t>
  </si>
  <si>
    <t>PL3/PC/18101 (Done)</t>
  </si>
  <si>
    <t>PL3/SFP/04801 (Waiting Another Operation)</t>
  </si>
  <si>
    <t>NRNF-150NS-BL-Z</t>
  </si>
  <si>
    <t>Nordex Floor Black 6H.E 15,0kW NS Trendline</t>
  </si>
  <si>
    <t>PL3/MO/06892</t>
  </si>
  <si>
    <t>PL3/PC/18102 (Done)</t>
  </si>
  <si>
    <t>PL3/SFP/04802 (Done)</t>
  </si>
  <si>
    <t>SAV-210NS-V12-P</t>
  </si>
  <si>
    <t>Super Savonia 12H.E 21,0kW NS V12 Premium</t>
  </si>
  <si>
    <t>PL3/MO/07010</t>
  </si>
  <si>
    <t>PL3/PC/18103 (Done)</t>
  </si>
  <si>
    <t>PL3/SFP/04803 (Done)</t>
  </si>
  <si>
    <t>SAV-240NS-V12-P</t>
  </si>
  <si>
    <t>Super Savonia 12H.E 24,0kW NS V12 Premium</t>
  </si>
  <si>
    <t>No open MO - only cancelled PL3/MO/07011</t>
  </si>
  <si>
    <t>NRM-36NS-BL-Z</t>
  </si>
  <si>
    <t>Nordex Mini Black 2H.E 3,6kW NS Trendline</t>
  </si>
  <si>
    <t>PL3/MO/07120</t>
  </si>
  <si>
    <t>PL3/PC/18104 (Done)</t>
  </si>
  <si>
    <t>PL3/SFP/04804 (Done)</t>
  </si>
  <si>
    <t>NRM-30NB-BL-Z</t>
  </si>
  <si>
    <t>Nordex Mini Black 2H.E 3,0kW NB Trendline</t>
  </si>
  <si>
    <t>PL3/MO/07121</t>
  </si>
  <si>
    <t>PL3/PC/18105 (Ready)</t>
  </si>
  <si>
    <t>PL3/SFP/04805 (Waiting Another Operation)</t>
  </si>
  <si>
    <t>NRM-36NB-BL-Z</t>
  </si>
  <si>
    <t>Nordex Mini Black 2H.E 3,6kW NB Trendline</t>
  </si>
  <si>
    <t>PL3/MO/07122</t>
  </si>
  <si>
    <t>PL3/PC/18106 (Ready)</t>
  </si>
  <si>
    <t>PL3/SFP/04806 (Waiting Another Operation)</t>
  </si>
  <si>
    <t>NRM-36NI2-BL-Z</t>
  </si>
  <si>
    <t>Nordex Mini Black 3,6kW NI2 Trendline</t>
  </si>
  <si>
    <t>PL3/MO/07123</t>
  </si>
  <si>
    <t>PL3/PC/18107 (Waiting)</t>
  </si>
  <si>
    <t>PL3/SFP/04807 (Waiting Another Operation)</t>
  </si>
  <si>
    <t>HES-60NS-G-P-C</t>
  </si>
  <si>
    <t>Helius 3H.E 6,0kW NS Premium 3P-1P</t>
  </si>
  <si>
    <t>PL3/MO/07180</t>
  </si>
  <si>
    <t>PL3/PC/18108 (Done)</t>
  </si>
  <si>
    <t>PL3/SFP/04808 (Waiting Another Operation)</t>
  </si>
  <si>
    <t>NRN-PRO-CK</t>
  </si>
  <si>
    <t>Nordex Pro Connection Kit</t>
  </si>
  <si>
    <t>Stock / purchased item - no MO expected</t>
  </si>
  <si>
    <t>NRN-PRO-60NS-BL-Z-C</t>
  </si>
  <si>
    <t>Nordex Pro Black 3H.E 6,0kW NS Trendline 3P-1P</t>
  </si>
  <si>
    <t>PL3/MO/07402</t>
  </si>
  <si>
    <t>PL3/PC/18109 (Done)</t>
  </si>
  <si>
    <t>PL3/SFP/04809 (Done)</t>
  </si>
  <si>
    <t>NRN-PRO-80NS-BL-Z-C</t>
  </si>
  <si>
    <t>Nordex Pro Black 3H.E 8,0kW NS Trendline 3P-1P</t>
  </si>
  <si>
    <t>PL3/MO/07403</t>
  </si>
  <si>
    <t>PL3/PC/18110 (Done)</t>
  </si>
  <si>
    <t>PL3/SFP/04810 (Done)</t>
  </si>
  <si>
    <t>NRN-PRO-90NS-BL-Z-C</t>
  </si>
  <si>
    <t>Nordex Pro Black 3H.E 9,0kW NS Trendline 3P-1P</t>
  </si>
  <si>
    <t>PL3/MO/07404</t>
  </si>
  <si>
    <t>PL3/PC/18111 (Done)</t>
  </si>
  <si>
    <t>PL3/SFP/04811 (Waiting Another Operation)</t>
  </si>
  <si>
    <t>NRNC-PRO-90NS-BL-Z</t>
  </si>
  <si>
    <t>Nordex Pro Combi Black 3H.E 9,0kW NS Trendline 3P-1P</t>
  </si>
  <si>
    <t>PL3/MO/07405</t>
  </si>
  <si>
    <t>PL3/PC/18112 (Ready)</t>
  </si>
  <si>
    <t>PL3/SFP/04812 (Waiting Another Operation)</t>
  </si>
  <si>
    <t>MO qty 3 &lt; line qty 5 - short by 2</t>
  </si>
  <si>
    <t>HP09-021</t>
  </si>
  <si>
    <t>Solenoid Valve</t>
  </si>
  <si>
    <t>STN-PUMP</t>
  </si>
  <si>
    <t>Modern Aroma Pump with injector fittings</t>
  </si>
  <si>
    <t>517-IR-A</t>
  </si>
  <si>
    <t>Infrared Backrest Hi-back 180x300x950mm, Aspen</t>
  </si>
  <si>
    <t>PL1/MO/31020</t>
  </si>
  <si>
    <t>PL1/PC/18113 (Waiting)</t>
  </si>
  <si>
    <t>PL1/SFP/04813 (Waiting Another Operation)</t>
  </si>
  <si>
    <t>SAU-PC-V2</t>
  </si>
  <si>
    <t>Saunova 2.0 Power Controller</t>
  </si>
  <si>
    <t>PL1/MO/31110</t>
  </si>
  <si>
    <t>PL1/PC/18114 (Done)</t>
  </si>
  <si>
    <t>PL1/SFP/04814 (Waiting Another Operation)</t>
  </si>
  <si>
    <t>SAU-UI-V2</t>
  </si>
  <si>
    <t>Saunova 2.0 User Interface</t>
  </si>
  <si>
    <t>PL1/MO/31111</t>
  </si>
  <si>
    <t>PL1/PC/18115 (Done)</t>
  </si>
  <si>
    <t>PL1/SFP/04815 (Waiting Another Operation)</t>
  </si>
  <si>
    <t>HP01-024</t>
  </si>
  <si>
    <t>Heat Reflector- MN</t>
  </si>
  <si>
    <t>HP02-014</t>
  </si>
  <si>
    <t>Heat Reflector- SCA</t>
  </si>
  <si>
    <t>PL1/MO/31205</t>
  </si>
  <si>
    <t>PL1/PC/18116 (Ready)</t>
  </si>
  <si>
    <t>PL1/SFP/04816 (Waiting Another Operation)</t>
  </si>
  <si>
    <t>PL1/MO/31206</t>
  </si>
  <si>
    <t>PL1/PC/18117 (Ready)</t>
  </si>
  <si>
    <t>PL1/SFP/04817 (Waiting Another Operation)</t>
  </si>
  <si>
    <t>Shipment Readiness - All MOs and Transfers</t>
  </si>
  <si>
    <t>Transfer Ref</t>
  </si>
  <si>
    <t>Transfer Type</t>
  </si>
  <si>
    <t>Transfer Status</t>
  </si>
  <si>
    <t>Remark</t>
  </si>
  <si>
    <t>PL3/PC/17852</t>
  </si>
  <si>
    <t>Picking Components</t>
  </si>
  <si>
    <t>Ready</t>
  </si>
  <si>
    <t>PL3/PC/05565</t>
  </si>
  <si>
    <t>PL3/SFP/04631</t>
  </si>
  <si>
    <t>Store Finished Product</t>
  </si>
  <si>
    <t>Waiting Another Operation</t>
  </si>
  <si>
    <t>PL3/PC/17855</t>
  </si>
  <si>
    <t>Waiting</t>
  </si>
  <si>
    <t>PL3/SFP/04633</t>
  </si>
  <si>
    <t>PL3/PC/18100</t>
  </si>
  <si>
    <t>PL3/SFP/04800</t>
  </si>
  <si>
    <t>PL3/PC/18101</t>
  </si>
  <si>
    <t>PL3/SFP/04801</t>
  </si>
  <si>
    <t>PL3/PC/18102</t>
  </si>
  <si>
    <t>PL3/SFP/04802</t>
  </si>
  <si>
    <t>PL3/PC/18103</t>
  </si>
  <si>
    <t>PL3/SFP/04803</t>
  </si>
  <si>
    <t>PL3/MO/07011</t>
  </si>
  <si>
    <t>Cancelled</t>
  </si>
  <si>
    <t>Ignored (cancelled MO)</t>
  </si>
  <si>
    <t>PL3/PC/18104</t>
  </si>
  <si>
    <t>PL3/SFP/04804</t>
  </si>
  <si>
    <t>PL3/PC/18105</t>
  </si>
  <si>
    <t>PL3/SFP/04805</t>
  </si>
  <si>
    <t>PL3/PC/18106</t>
  </si>
  <si>
    <t>PL3/SFP/04806</t>
  </si>
  <si>
    <t>PL3/PC/18107</t>
  </si>
  <si>
    <t>PL3/SFP/04807</t>
  </si>
  <si>
    <t>PL3/PC/18108</t>
  </si>
  <si>
    <t>PL3/SFP/04808</t>
  </si>
  <si>
    <t>PL3/PC/18109</t>
  </si>
  <si>
    <t>PL3/SFP/04809</t>
  </si>
  <si>
    <t>PL3/PC/18110</t>
  </si>
  <si>
    <t>PL3/SFP/04810</t>
  </si>
  <si>
    <t>PL3/PC/18111</t>
  </si>
  <si>
    <t>PL3/SFP/04811</t>
  </si>
  <si>
    <t>PL3/PC/18112</t>
  </si>
  <si>
    <t>PL3/SFP/04812</t>
  </si>
  <si>
    <t>PL1/PC/18113</t>
  </si>
  <si>
    <t>PL1/SFP/04813</t>
  </si>
  <si>
    <t>PL1/PC/18114</t>
  </si>
  <si>
    <t>PL1/SFP/04814</t>
  </si>
  <si>
    <t>PL1/PC/18115</t>
  </si>
  <si>
    <t>PL1/SFP/04815</t>
  </si>
  <si>
    <t>PL1/PC/18116</t>
  </si>
  <si>
    <t>PL1/SFP/04816</t>
  </si>
  <si>
    <t>PL1/PC/18117</t>
  </si>
  <si>
    <t>PL1/SFP/04817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</si>
</sst>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595959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96969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B152-DBB8-437C-9A1F-870D985AA7CA}">
  <dimension ref="A1:J26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5" x14ac:dyDescent="0.25"/>
  <cols>
    <col min="1" max="1" width="20.7109375" customWidth="1"/>
    <col min="2" max="2" width="24.7109375" customWidth="1"/>
    <col min="3" max="10" width="13.7109375" customWidth="1"/>
  </cols>
  <sheetData>
    <row r="1" spans="1:10" ht="21" x14ac:dyDescent="0.35">
      <c r="A1" s="1" t="s">
        <v>0</v>
      </c>
    </row>
    <row r="2" spans="1:10" x14ac:dyDescent="0.25">
      <c r="A2" s="2" t="s">
        <v>1</v>
      </c>
    </row>
    <row r="3" spans="1:10" x14ac:dyDescent="0.25">
      <c r="A3" s="3" t="s">
        <v>2</v>
      </c>
    </row>
    <row r="5" spans="1:10" ht="30" customHeight="1" x14ac:dyDescent="0.25">
      <c r="A5" s="11" t="s">
        <v>3</v>
      </c>
      <c r="B5" s="11" t="s">
        <v>4</v>
      </c>
      <c r="C5" s="12" t="s">
        <v>5</v>
      </c>
      <c r="D5" s="13" t="s">
        <v>6</v>
      </c>
      <c r="E5" s="14" t="s">
        <v>7</v>
      </c>
      <c r="F5" s="15" t="s">
        <v>8</v>
      </c>
      <c r="G5" s="16" t="s">
        <v>9</v>
      </c>
      <c r="H5" s="17" t="s">
        <v>10</v>
      </c>
      <c r="I5" s="18" t="s">
        <v>11</v>
      </c>
      <c r="J5" s="12" t="s">
        <v>12</v>
      </c>
    </row>
    <row r="6" spans="1:10" x14ac:dyDescent="0.25">
      <c r="A6" s="19" t="s">
        <v>13</v>
      </c>
      <c r="B6" s="19" t="s">
        <v>14</v>
      </c>
      <c r="C6" s="20">
        <v>5</v>
      </c>
      <c r="D6" s="21">
        <v>2</v>
      </c>
      <c r="E6" s="22">
        <v>1</v>
      </c>
      <c r="F6" s="20"/>
      <c r="G6" s="23">
        <v>2</v>
      </c>
      <c r="H6" s="20"/>
      <c r="I6" s="20"/>
      <c r="J6" s="24">
        <v>0.4</v>
      </c>
    </row>
    <row r="7" spans="1:10" x14ac:dyDescent="0.25">
      <c r="A7" s="19" t="s">
        <v>15</v>
      </c>
      <c r="B7" s="19" t="s">
        <v>16</v>
      </c>
      <c r="C7" s="20">
        <v>2</v>
      </c>
      <c r="D7" s="21">
        <v>1</v>
      </c>
      <c r="E7" s="20"/>
      <c r="F7" s="20"/>
      <c r="G7" s="20"/>
      <c r="H7" s="25">
        <v>1</v>
      </c>
      <c r="I7" s="20"/>
      <c r="J7" s="24">
        <v>0.5</v>
      </c>
    </row>
    <row r="8" spans="1:10" x14ac:dyDescent="0.25">
      <c r="A8" s="19" t="s">
        <v>17</v>
      </c>
      <c r="B8" s="19" t="s">
        <v>16</v>
      </c>
      <c r="C8" s="20">
        <v>4</v>
      </c>
      <c r="D8" s="21">
        <v>1</v>
      </c>
      <c r="E8" s="20"/>
      <c r="F8" s="26">
        <v>2</v>
      </c>
      <c r="G8" s="23">
        <v>1</v>
      </c>
      <c r="H8" s="20"/>
      <c r="I8" s="20"/>
      <c r="J8" s="24">
        <v>0.25</v>
      </c>
    </row>
    <row r="9" spans="1:10" x14ac:dyDescent="0.25">
      <c r="A9" s="19" t="s">
        <v>18</v>
      </c>
      <c r="B9" s="19" t="s">
        <v>16</v>
      </c>
      <c r="C9" s="20">
        <v>1</v>
      </c>
      <c r="D9" s="20"/>
      <c r="E9" s="22">
        <v>1</v>
      </c>
      <c r="F9" s="20"/>
      <c r="G9" s="20"/>
      <c r="H9" s="20"/>
      <c r="I9" s="20"/>
      <c r="J9" s="24">
        <v>0</v>
      </c>
    </row>
    <row r="10" spans="1:10" x14ac:dyDescent="0.25">
      <c r="A10" s="19" t="s">
        <v>19</v>
      </c>
      <c r="B10" s="19" t="s">
        <v>16</v>
      </c>
      <c r="C10" s="20">
        <v>5</v>
      </c>
      <c r="D10" s="21">
        <v>2</v>
      </c>
      <c r="E10" s="22">
        <v>1</v>
      </c>
      <c r="F10" s="20"/>
      <c r="G10" s="20"/>
      <c r="H10" s="25">
        <v>1</v>
      </c>
      <c r="I10" s="27">
        <v>1</v>
      </c>
      <c r="J10" s="24">
        <v>0.5</v>
      </c>
    </row>
    <row r="11" spans="1:10" x14ac:dyDescent="0.25">
      <c r="A11" s="19" t="s">
        <v>20</v>
      </c>
      <c r="B11" s="19" t="s">
        <v>16</v>
      </c>
      <c r="C11" s="20">
        <v>1</v>
      </c>
      <c r="D11" s="20"/>
      <c r="E11" s="20"/>
      <c r="F11" s="20"/>
      <c r="G11" s="20"/>
      <c r="H11" s="20"/>
      <c r="I11" s="27">
        <v>1</v>
      </c>
      <c r="J11" s="24">
        <v>1</v>
      </c>
    </row>
    <row r="12" spans="1:10" x14ac:dyDescent="0.25">
      <c r="A12" s="19" t="s">
        <v>21</v>
      </c>
      <c r="B12" s="19" t="s">
        <v>16</v>
      </c>
      <c r="C12" s="20">
        <v>1</v>
      </c>
      <c r="D12" s="20"/>
      <c r="E12" s="20"/>
      <c r="F12" s="20"/>
      <c r="G12" s="20"/>
      <c r="H12" s="20"/>
      <c r="I12" s="27">
        <v>1</v>
      </c>
      <c r="J12" s="24">
        <v>1</v>
      </c>
    </row>
    <row r="13" spans="1:10" x14ac:dyDescent="0.25">
      <c r="A13" s="19" t="s">
        <v>22</v>
      </c>
      <c r="B13" s="19" t="s">
        <v>16</v>
      </c>
      <c r="C13" s="20">
        <v>1</v>
      </c>
      <c r="D13" s="20"/>
      <c r="E13" s="20"/>
      <c r="F13" s="20"/>
      <c r="G13" s="23">
        <v>1</v>
      </c>
      <c r="H13" s="20"/>
      <c r="I13" s="20"/>
      <c r="J13" s="24">
        <v>0</v>
      </c>
    </row>
    <row r="14" spans="1:10" x14ac:dyDescent="0.25">
      <c r="A14" s="19" t="s">
        <v>23</v>
      </c>
      <c r="B14" s="19" t="s">
        <v>16</v>
      </c>
      <c r="C14" s="20">
        <v>2</v>
      </c>
      <c r="D14" s="20"/>
      <c r="E14" s="22">
        <v>2</v>
      </c>
      <c r="F14" s="20"/>
      <c r="G14" s="20"/>
      <c r="H14" s="20"/>
      <c r="I14" s="20"/>
      <c r="J14" s="24">
        <v>0</v>
      </c>
    </row>
    <row r="15" spans="1:10" x14ac:dyDescent="0.25">
      <c r="A15" s="19" t="s">
        <v>24</v>
      </c>
      <c r="B15" s="19" t="s">
        <v>16</v>
      </c>
      <c r="C15" s="20">
        <v>2</v>
      </c>
      <c r="D15" s="20"/>
      <c r="E15" s="20"/>
      <c r="F15" s="20"/>
      <c r="G15" s="20"/>
      <c r="H15" s="20"/>
      <c r="I15" s="27">
        <v>2</v>
      </c>
      <c r="J15" s="24">
        <v>1</v>
      </c>
    </row>
    <row r="16" spans="1:10" x14ac:dyDescent="0.25">
      <c r="A16" s="19" t="s">
        <v>25</v>
      </c>
      <c r="B16" s="19" t="s">
        <v>16</v>
      </c>
      <c r="C16" s="20">
        <v>2</v>
      </c>
      <c r="D16" s="20"/>
      <c r="E16" s="20"/>
      <c r="F16" s="26">
        <v>2</v>
      </c>
      <c r="G16" s="20"/>
      <c r="H16" s="20"/>
      <c r="I16" s="20"/>
      <c r="J16" s="24">
        <v>0</v>
      </c>
    </row>
    <row r="17" spans="1:10" x14ac:dyDescent="0.25">
      <c r="A17" s="28" t="s">
        <v>26</v>
      </c>
      <c r="B17" s="28"/>
      <c r="C17" s="29">
        <f>SUM(C6:C16)</f>
        <v>26</v>
      </c>
      <c r="D17" s="29">
        <f>SUM(D6:D16)</f>
        <v>6</v>
      </c>
      <c r="E17" s="29">
        <f>SUM(E6:E16)</f>
        <v>5</v>
      </c>
      <c r="F17" s="29">
        <f>SUM(F6:F16)</f>
        <v>4</v>
      </c>
      <c r="G17" s="29">
        <f>SUM(G6:G16)</f>
        <v>4</v>
      </c>
      <c r="H17" s="29">
        <f>SUM(H6:H16)</f>
        <v>2</v>
      </c>
      <c r="I17" s="29">
        <f>SUM(I6:I16)</f>
        <v>5</v>
      </c>
      <c r="J17" s="30">
        <f>IFERROR(D17/(C17-I17),1)</f>
        <v>0.2857142857142857</v>
      </c>
    </row>
    <row r="20" spans="1:10" x14ac:dyDescent="0.25">
      <c r="A20" s="4" t="s">
        <v>27</v>
      </c>
    </row>
    <row r="21" spans="1:10" x14ac:dyDescent="0.25">
      <c r="A21" s="5" t="s">
        <v>6</v>
      </c>
      <c r="B21" t="s">
        <v>28</v>
      </c>
    </row>
    <row r="22" spans="1:10" x14ac:dyDescent="0.25">
      <c r="A22" s="6" t="s">
        <v>7</v>
      </c>
      <c r="B22" t="s">
        <v>29</v>
      </c>
    </row>
    <row r="23" spans="1:10" x14ac:dyDescent="0.25">
      <c r="A23" s="9" t="s">
        <v>8</v>
      </c>
      <c r="B23" t="s">
        <v>30</v>
      </c>
    </row>
    <row r="24" spans="1:10" x14ac:dyDescent="0.25">
      <c r="A24" s="7" t="s">
        <v>9</v>
      </c>
      <c r="B24" t="s">
        <v>31</v>
      </c>
    </row>
    <row r="25" spans="1:10" x14ac:dyDescent="0.25">
      <c r="A25" s="8" t="s">
        <v>10</v>
      </c>
      <c r="B25" t="s">
        <v>32</v>
      </c>
    </row>
    <row r="26" spans="1:10" x14ac:dyDescent="0.25">
      <c r="A26" s="10" t="s">
        <v>11</v>
      </c>
      <c r="B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7F62-9033-4C2F-9E0C-184DA5125917}">
  <dimension ref="A1:L31"/>
  <sheetViews>
    <sheetView showGridLines="0" workbookViewId="0">
      <pane ySplit="5" topLeftCell="A6" activePane="bottomLeft" state="frozenSplit"/>
      <selection pane="bottomLeft"/>
    </sheetView>
  </sheetViews>
  <sheetFormatPr defaultRowHeight="15" x14ac:dyDescent="0.25"/>
  <cols>
    <col min="1" max="1" width="11.7109375" customWidth="1"/>
    <col min="2" max="2" width="22.7109375" customWidth="1"/>
    <col min="3" max="3" width="44.7109375" customWidth="1"/>
    <col min="4" max="4" width="7.7109375" customWidth="1"/>
    <col min="5" max="5" width="15.7109375" customWidth="1"/>
    <col min="6" max="6" width="8.7109375" customWidth="1"/>
    <col min="7" max="7" width="12.7109375" customWidth="1"/>
    <col min="8" max="8" width="15.7109375" customWidth="1"/>
    <col min="9" max="10" width="36.7109375" customWidth="1"/>
    <col min="11" max="11" width="19.7109375" customWidth="1"/>
    <col min="12" max="12" width="46.7109375" customWidth="1"/>
  </cols>
  <sheetData>
    <row r="1" spans="1:12" ht="21" x14ac:dyDescent="0.35">
      <c r="A1" s="1" t="s">
        <v>34</v>
      </c>
    </row>
    <row r="2" spans="1:12" x14ac:dyDescent="0.25">
      <c r="A2" s="2" t="s">
        <v>1</v>
      </c>
    </row>
    <row r="3" spans="1:12" x14ac:dyDescent="0.25">
      <c r="A3" s="3" t="s">
        <v>2</v>
      </c>
    </row>
    <row r="5" spans="1:12" ht="30" customHeight="1" x14ac:dyDescent="0.25">
      <c r="A5" s="31" t="s">
        <v>35</v>
      </c>
      <c r="B5" s="31" t="s">
        <v>36</v>
      </c>
      <c r="C5" s="31" t="s">
        <v>37</v>
      </c>
      <c r="D5" s="31" t="s">
        <v>38</v>
      </c>
      <c r="E5" s="31" t="s">
        <v>39</v>
      </c>
      <c r="F5" s="31" t="s">
        <v>40</v>
      </c>
      <c r="G5" s="31" t="s">
        <v>41</v>
      </c>
      <c r="H5" s="31" t="s">
        <v>42</v>
      </c>
      <c r="I5" s="31" t="s">
        <v>43</v>
      </c>
      <c r="J5" s="31" t="s">
        <v>44</v>
      </c>
      <c r="K5" s="31" t="s">
        <v>45</v>
      </c>
      <c r="L5" s="31" t="s">
        <v>46</v>
      </c>
    </row>
    <row r="6" spans="1:12" ht="30" x14ac:dyDescent="0.25">
      <c r="A6" s="32" t="s">
        <v>13</v>
      </c>
      <c r="B6" s="32" t="s">
        <v>47</v>
      </c>
      <c r="C6" s="32" t="s">
        <v>48</v>
      </c>
      <c r="D6" s="42">
        <v>10</v>
      </c>
      <c r="E6" s="32" t="s">
        <v>49</v>
      </c>
      <c r="F6" s="42">
        <v>30</v>
      </c>
      <c r="G6" s="32" t="s">
        <v>50</v>
      </c>
      <c r="H6" s="33" t="s">
        <v>51</v>
      </c>
      <c r="I6" s="40" t="s">
        <v>52</v>
      </c>
      <c r="J6" s="40" t="s">
        <v>53</v>
      </c>
      <c r="K6" s="34" t="s">
        <v>9</v>
      </c>
      <c r="L6" s="40" t="s">
        <v>54</v>
      </c>
    </row>
    <row r="7" spans="1:12" ht="30" x14ac:dyDescent="0.25">
      <c r="A7" s="32" t="s">
        <v>13</v>
      </c>
      <c r="B7" s="32" t="s">
        <v>55</v>
      </c>
      <c r="C7" s="32" t="s">
        <v>56</v>
      </c>
      <c r="D7" s="42">
        <v>10</v>
      </c>
      <c r="E7" s="32" t="s">
        <v>57</v>
      </c>
      <c r="F7" s="42">
        <v>50</v>
      </c>
      <c r="G7" s="32" t="s">
        <v>50</v>
      </c>
      <c r="H7" s="33" t="s">
        <v>51</v>
      </c>
      <c r="I7" s="40" t="s">
        <v>58</v>
      </c>
      <c r="J7" s="40" t="s">
        <v>59</v>
      </c>
      <c r="K7" s="34" t="s">
        <v>9</v>
      </c>
      <c r="L7" s="40" t="s">
        <v>60</v>
      </c>
    </row>
    <row r="8" spans="1:12" x14ac:dyDescent="0.25">
      <c r="A8" s="32" t="s">
        <v>13</v>
      </c>
      <c r="B8" s="32" t="s">
        <v>61</v>
      </c>
      <c r="C8" s="32" t="s">
        <v>62</v>
      </c>
      <c r="D8" s="42">
        <v>10</v>
      </c>
      <c r="E8" s="32" t="s">
        <v>63</v>
      </c>
      <c r="F8" s="42">
        <v>10</v>
      </c>
      <c r="G8" s="32" t="s">
        <v>64</v>
      </c>
      <c r="H8" s="32" t="s">
        <v>65</v>
      </c>
      <c r="I8" s="40" t="s">
        <v>66</v>
      </c>
      <c r="J8" s="40" t="s">
        <v>67</v>
      </c>
      <c r="K8" s="35" t="s">
        <v>6</v>
      </c>
      <c r="L8" s="40"/>
    </row>
    <row r="9" spans="1:12" ht="30" x14ac:dyDescent="0.25">
      <c r="A9" s="32" t="s">
        <v>13</v>
      </c>
      <c r="B9" s="32" t="s">
        <v>68</v>
      </c>
      <c r="C9" s="32" t="s">
        <v>69</v>
      </c>
      <c r="D9" s="42">
        <v>5</v>
      </c>
      <c r="E9" s="32" t="s">
        <v>70</v>
      </c>
      <c r="F9" s="42">
        <v>5</v>
      </c>
      <c r="G9" s="32" t="s">
        <v>71</v>
      </c>
      <c r="H9" s="32" t="s">
        <v>65</v>
      </c>
      <c r="I9" s="40" t="s">
        <v>72</v>
      </c>
      <c r="J9" s="40" t="s">
        <v>73</v>
      </c>
      <c r="K9" s="36" t="s">
        <v>7</v>
      </c>
      <c r="L9" s="40"/>
    </row>
    <row r="10" spans="1:12" x14ac:dyDescent="0.25">
      <c r="A10" s="32" t="s">
        <v>13</v>
      </c>
      <c r="B10" s="32" t="s">
        <v>74</v>
      </c>
      <c r="C10" s="32" t="s">
        <v>75</v>
      </c>
      <c r="D10" s="42">
        <v>10</v>
      </c>
      <c r="E10" s="32" t="s">
        <v>76</v>
      </c>
      <c r="F10" s="42">
        <v>10</v>
      </c>
      <c r="G10" s="32" t="s">
        <v>64</v>
      </c>
      <c r="H10" s="32" t="s">
        <v>65</v>
      </c>
      <c r="I10" s="40" t="s">
        <v>77</v>
      </c>
      <c r="J10" s="40" t="s">
        <v>78</v>
      </c>
      <c r="K10" s="35" t="s">
        <v>6</v>
      </c>
      <c r="L10" s="40"/>
    </row>
    <row r="11" spans="1:12" x14ac:dyDescent="0.25">
      <c r="A11" s="32" t="s">
        <v>15</v>
      </c>
      <c r="B11" s="32" t="s">
        <v>79</v>
      </c>
      <c r="C11" s="32" t="s">
        <v>80</v>
      </c>
      <c r="D11" s="42">
        <v>10</v>
      </c>
      <c r="E11" s="32" t="s">
        <v>81</v>
      </c>
      <c r="F11" s="42">
        <v>10</v>
      </c>
      <c r="G11" s="32" t="s">
        <v>64</v>
      </c>
      <c r="H11" s="32" t="s">
        <v>65</v>
      </c>
      <c r="I11" s="40" t="s">
        <v>82</v>
      </c>
      <c r="J11" s="40" t="s">
        <v>83</v>
      </c>
      <c r="K11" s="35" t="s">
        <v>6</v>
      </c>
      <c r="L11" s="40"/>
    </row>
    <row r="12" spans="1:12" x14ac:dyDescent="0.25">
      <c r="A12" s="32" t="s">
        <v>15</v>
      </c>
      <c r="B12" s="32" t="s">
        <v>84</v>
      </c>
      <c r="C12" s="32" t="s">
        <v>85</v>
      </c>
      <c r="D12" s="42">
        <v>10</v>
      </c>
      <c r="E12" s="32"/>
      <c r="F12" s="42"/>
      <c r="G12" s="32"/>
      <c r="H12" s="32"/>
      <c r="I12" s="40"/>
      <c r="J12" s="40"/>
      <c r="K12" s="37" t="s">
        <v>10</v>
      </c>
      <c r="L12" s="41" t="s">
        <v>86</v>
      </c>
    </row>
    <row r="13" spans="1:12" x14ac:dyDescent="0.25">
      <c r="A13" s="32" t="s">
        <v>17</v>
      </c>
      <c r="B13" s="32" t="s">
        <v>87</v>
      </c>
      <c r="C13" s="32" t="s">
        <v>88</v>
      </c>
      <c r="D13" s="42">
        <v>5</v>
      </c>
      <c r="E13" s="32" t="s">
        <v>89</v>
      </c>
      <c r="F13" s="42">
        <v>5</v>
      </c>
      <c r="G13" s="32" t="s">
        <v>64</v>
      </c>
      <c r="H13" s="32" t="s">
        <v>65</v>
      </c>
      <c r="I13" s="40" t="s">
        <v>90</v>
      </c>
      <c r="J13" s="40" t="s">
        <v>91</v>
      </c>
      <c r="K13" s="35" t="s">
        <v>6</v>
      </c>
      <c r="L13" s="40"/>
    </row>
    <row r="14" spans="1:12" ht="30" x14ac:dyDescent="0.25">
      <c r="A14" s="32" t="s">
        <v>17</v>
      </c>
      <c r="B14" s="32" t="s">
        <v>92</v>
      </c>
      <c r="C14" s="32" t="s">
        <v>93</v>
      </c>
      <c r="D14" s="42">
        <v>5</v>
      </c>
      <c r="E14" s="32" t="s">
        <v>94</v>
      </c>
      <c r="F14" s="42">
        <v>5</v>
      </c>
      <c r="G14" s="32" t="s">
        <v>50</v>
      </c>
      <c r="H14" s="32" t="s">
        <v>65</v>
      </c>
      <c r="I14" s="40" t="s">
        <v>95</v>
      </c>
      <c r="J14" s="40" t="s">
        <v>96</v>
      </c>
      <c r="K14" s="38" t="s">
        <v>8</v>
      </c>
      <c r="L14" s="40"/>
    </row>
    <row r="15" spans="1:12" ht="30" x14ac:dyDescent="0.25">
      <c r="A15" s="32" t="s">
        <v>17</v>
      </c>
      <c r="B15" s="32" t="s">
        <v>97</v>
      </c>
      <c r="C15" s="32" t="s">
        <v>98</v>
      </c>
      <c r="D15" s="42">
        <v>5</v>
      </c>
      <c r="E15" s="32" t="s">
        <v>99</v>
      </c>
      <c r="F15" s="42">
        <v>5</v>
      </c>
      <c r="G15" s="32" t="s">
        <v>50</v>
      </c>
      <c r="H15" s="32" t="s">
        <v>65</v>
      </c>
      <c r="I15" s="40" t="s">
        <v>100</v>
      </c>
      <c r="J15" s="40" t="s">
        <v>101</v>
      </c>
      <c r="K15" s="38" t="s">
        <v>8</v>
      </c>
      <c r="L15" s="40"/>
    </row>
    <row r="16" spans="1:12" ht="30" x14ac:dyDescent="0.25">
      <c r="A16" s="32" t="s">
        <v>17</v>
      </c>
      <c r="B16" s="32" t="s">
        <v>102</v>
      </c>
      <c r="C16" s="32" t="s">
        <v>103</v>
      </c>
      <c r="D16" s="42">
        <v>5</v>
      </c>
      <c r="E16" s="32" t="s">
        <v>104</v>
      </c>
      <c r="F16" s="42">
        <v>5</v>
      </c>
      <c r="G16" s="32" t="s">
        <v>50</v>
      </c>
      <c r="H16" s="33" t="s">
        <v>51</v>
      </c>
      <c r="I16" s="40" t="s">
        <v>105</v>
      </c>
      <c r="J16" s="40" t="s">
        <v>106</v>
      </c>
      <c r="K16" s="34" t="s">
        <v>9</v>
      </c>
      <c r="L16" s="40"/>
    </row>
    <row r="17" spans="1:12" ht="30" x14ac:dyDescent="0.25">
      <c r="A17" s="32" t="s">
        <v>18</v>
      </c>
      <c r="B17" s="32" t="s">
        <v>107</v>
      </c>
      <c r="C17" s="32" t="s">
        <v>108</v>
      </c>
      <c r="D17" s="42">
        <v>5</v>
      </c>
      <c r="E17" s="32" t="s">
        <v>109</v>
      </c>
      <c r="F17" s="42">
        <v>5</v>
      </c>
      <c r="G17" s="32" t="s">
        <v>71</v>
      </c>
      <c r="H17" s="32" t="s">
        <v>65</v>
      </c>
      <c r="I17" s="40" t="s">
        <v>110</v>
      </c>
      <c r="J17" s="40" t="s">
        <v>111</v>
      </c>
      <c r="K17" s="36" t="s">
        <v>7</v>
      </c>
      <c r="L17" s="40"/>
    </row>
    <row r="18" spans="1:12" x14ac:dyDescent="0.25">
      <c r="A18" s="32" t="s">
        <v>19</v>
      </c>
      <c r="B18" s="32" t="s">
        <v>112</v>
      </c>
      <c r="C18" s="32" t="s">
        <v>113</v>
      </c>
      <c r="D18" s="42">
        <v>25</v>
      </c>
      <c r="E18" s="32"/>
      <c r="F18" s="42"/>
      <c r="G18" s="32"/>
      <c r="H18" s="32"/>
      <c r="I18" s="40"/>
      <c r="J18" s="40"/>
      <c r="K18" s="39" t="s">
        <v>11</v>
      </c>
      <c r="L18" s="40" t="s">
        <v>114</v>
      </c>
    </row>
    <row r="19" spans="1:12" x14ac:dyDescent="0.25">
      <c r="A19" s="32" t="s">
        <v>19</v>
      </c>
      <c r="B19" s="32" t="s">
        <v>115</v>
      </c>
      <c r="C19" s="32" t="s">
        <v>116</v>
      </c>
      <c r="D19" s="42">
        <v>5</v>
      </c>
      <c r="E19" s="32" t="s">
        <v>117</v>
      </c>
      <c r="F19" s="42">
        <v>5</v>
      </c>
      <c r="G19" s="32" t="s">
        <v>64</v>
      </c>
      <c r="H19" s="32" t="s">
        <v>65</v>
      </c>
      <c r="I19" s="40" t="s">
        <v>118</v>
      </c>
      <c r="J19" s="40" t="s">
        <v>119</v>
      </c>
      <c r="K19" s="35" t="s">
        <v>6</v>
      </c>
      <c r="L19" s="40"/>
    </row>
    <row r="20" spans="1:12" x14ac:dyDescent="0.25">
      <c r="A20" s="32" t="s">
        <v>19</v>
      </c>
      <c r="B20" s="32" t="s">
        <v>120</v>
      </c>
      <c r="C20" s="32" t="s">
        <v>121</v>
      </c>
      <c r="D20" s="42">
        <v>5</v>
      </c>
      <c r="E20" s="32" t="s">
        <v>122</v>
      </c>
      <c r="F20" s="42">
        <v>5</v>
      </c>
      <c r="G20" s="32" t="s">
        <v>64</v>
      </c>
      <c r="H20" s="32" t="s">
        <v>65</v>
      </c>
      <c r="I20" s="40" t="s">
        <v>123</v>
      </c>
      <c r="J20" s="40" t="s">
        <v>124</v>
      </c>
      <c r="K20" s="35" t="s">
        <v>6</v>
      </c>
      <c r="L20" s="40"/>
    </row>
    <row r="21" spans="1:12" ht="30" x14ac:dyDescent="0.25">
      <c r="A21" s="32" t="s">
        <v>19</v>
      </c>
      <c r="B21" s="32" t="s">
        <v>125</v>
      </c>
      <c r="C21" s="32" t="s">
        <v>126</v>
      </c>
      <c r="D21" s="42">
        <v>5</v>
      </c>
      <c r="E21" s="32" t="s">
        <v>127</v>
      </c>
      <c r="F21" s="42">
        <v>5</v>
      </c>
      <c r="G21" s="32" t="s">
        <v>71</v>
      </c>
      <c r="H21" s="32" t="s">
        <v>65</v>
      </c>
      <c r="I21" s="40" t="s">
        <v>128</v>
      </c>
      <c r="J21" s="40" t="s">
        <v>129</v>
      </c>
      <c r="K21" s="36" t="s">
        <v>7</v>
      </c>
      <c r="L21" s="40"/>
    </row>
    <row r="22" spans="1:12" ht="30" x14ac:dyDescent="0.25">
      <c r="A22" s="32" t="s">
        <v>19</v>
      </c>
      <c r="B22" s="32" t="s">
        <v>130</v>
      </c>
      <c r="C22" s="32" t="s">
        <v>131</v>
      </c>
      <c r="D22" s="42">
        <v>5</v>
      </c>
      <c r="E22" s="32" t="s">
        <v>132</v>
      </c>
      <c r="F22" s="42">
        <v>3</v>
      </c>
      <c r="G22" s="32" t="s">
        <v>50</v>
      </c>
      <c r="H22" s="32" t="s">
        <v>65</v>
      </c>
      <c r="I22" s="40" t="s">
        <v>133</v>
      </c>
      <c r="J22" s="40" t="s">
        <v>134</v>
      </c>
      <c r="K22" s="37" t="s">
        <v>10</v>
      </c>
      <c r="L22" s="41" t="s">
        <v>135</v>
      </c>
    </row>
    <row r="23" spans="1:12" x14ac:dyDescent="0.25">
      <c r="A23" s="32" t="s">
        <v>20</v>
      </c>
      <c r="B23" s="32" t="s">
        <v>136</v>
      </c>
      <c r="C23" s="32" t="s">
        <v>137</v>
      </c>
      <c r="D23" s="42">
        <v>1</v>
      </c>
      <c r="E23" s="32"/>
      <c r="F23" s="42"/>
      <c r="G23" s="32"/>
      <c r="H23" s="32"/>
      <c r="I23" s="40"/>
      <c r="J23" s="40"/>
      <c r="K23" s="39" t="s">
        <v>11</v>
      </c>
      <c r="L23" s="40" t="s">
        <v>114</v>
      </c>
    </row>
    <row r="24" spans="1:12" x14ac:dyDescent="0.25">
      <c r="A24" s="32" t="s">
        <v>21</v>
      </c>
      <c r="B24" s="32" t="s">
        <v>138</v>
      </c>
      <c r="C24" s="32" t="s">
        <v>139</v>
      </c>
      <c r="D24" s="42">
        <v>24</v>
      </c>
      <c r="E24" s="32"/>
      <c r="F24" s="42"/>
      <c r="G24" s="32"/>
      <c r="H24" s="32"/>
      <c r="I24" s="40"/>
      <c r="J24" s="40"/>
      <c r="K24" s="39" t="s">
        <v>11</v>
      </c>
      <c r="L24" s="40" t="s">
        <v>114</v>
      </c>
    </row>
    <row r="25" spans="1:12" ht="30" x14ac:dyDescent="0.25">
      <c r="A25" s="32" t="s">
        <v>22</v>
      </c>
      <c r="B25" s="32" t="s">
        <v>140</v>
      </c>
      <c r="C25" s="32" t="s">
        <v>141</v>
      </c>
      <c r="D25" s="42">
        <v>5</v>
      </c>
      <c r="E25" s="32" t="s">
        <v>142</v>
      </c>
      <c r="F25" s="42">
        <v>5</v>
      </c>
      <c r="G25" s="32" t="s">
        <v>50</v>
      </c>
      <c r="H25" s="33" t="s">
        <v>51</v>
      </c>
      <c r="I25" s="40" t="s">
        <v>143</v>
      </c>
      <c r="J25" s="40" t="s">
        <v>144</v>
      </c>
      <c r="K25" s="34" t="s">
        <v>9</v>
      </c>
      <c r="L25" s="40"/>
    </row>
    <row r="26" spans="1:12" ht="30" x14ac:dyDescent="0.25">
      <c r="A26" s="32" t="s">
        <v>23</v>
      </c>
      <c r="B26" s="32" t="s">
        <v>145</v>
      </c>
      <c r="C26" s="32" t="s">
        <v>146</v>
      </c>
      <c r="D26" s="42">
        <v>384</v>
      </c>
      <c r="E26" s="32" t="s">
        <v>147</v>
      </c>
      <c r="F26" s="42">
        <v>384</v>
      </c>
      <c r="G26" s="32" t="s">
        <v>71</v>
      </c>
      <c r="H26" s="32" t="s">
        <v>65</v>
      </c>
      <c r="I26" s="40" t="s">
        <v>148</v>
      </c>
      <c r="J26" s="40" t="s">
        <v>149</v>
      </c>
      <c r="K26" s="36" t="s">
        <v>7</v>
      </c>
      <c r="L26" s="40"/>
    </row>
    <row r="27" spans="1:12" ht="30" x14ac:dyDescent="0.25">
      <c r="A27" s="32" t="s">
        <v>23</v>
      </c>
      <c r="B27" s="32" t="s">
        <v>150</v>
      </c>
      <c r="C27" s="32" t="s">
        <v>151</v>
      </c>
      <c r="D27" s="42">
        <v>396</v>
      </c>
      <c r="E27" s="32" t="s">
        <v>152</v>
      </c>
      <c r="F27" s="42">
        <v>396</v>
      </c>
      <c r="G27" s="32" t="s">
        <v>71</v>
      </c>
      <c r="H27" s="32" t="s">
        <v>65</v>
      </c>
      <c r="I27" s="40" t="s">
        <v>153</v>
      </c>
      <c r="J27" s="40" t="s">
        <v>154</v>
      </c>
      <c r="K27" s="36" t="s">
        <v>7</v>
      </c>
      <c r="L27" s="40"/>
    </row>
    <row r="28" spans="1:12" x14ac:dyDescent="0.25">
      <c r="A28" s="32" t="s">
        <v>24</v>
      </c>
      <c r="B28" s="32" t="s">
        <v>155</v>
      </c>
      <c r="C28" s="32" t="s">
        <v>156</v>
      </c>
      <c r="D28" s="42">
        <v>195</v>
      </c>
      <c r="E28" s="32"/>
      <c r="F28" s="42"/>
      <c r="G28" s="32"/>
      <c r="H28" s="32"/>
      <c r="I28" s="40"/>
      <c r="J28" s="40"/>
      <c r="K28" s="39" t="s">
        <v>11</v>
      </c>
      <c r="L28" s="40" t="s">
        <v>114</v>
      </c>
    </row>
    <row r="29" spans="1:12" x14ac:dyDescent="0.25">
      <c r="A29" s="32" t="s">
        <v>24</v>
      </c>
      <c r="B29" s="32" t="s">
        <v>157</v>
      </c>
      <c r="C29" s="32" t="s">
        <v>158</v>
      </c>
      <c r="D29" s="42">
        <v>40</v>
      </c>
      <c r="E29" s="32"/>
      <c r="F29" s="42"/>
      <c r="G29" s="32"/>
      <c r="H29" s="32"/>
      <c r="I29" s="40"/>
      <c r="J29" s="40"/>
      <c r="K29" s="39" t="s">
        <v>11</v>
      </c>
      <c r="L29" s="40" t="s">
        <v>114</v>
      </c>
    </row>
    <row r="30" spans="1:12" ht="30" x14ac:dyDescent="0.25">
      <c r="A30" s="32" t="s">
        <v>25</v>
      </c>
      <c r="B30" s="32" t="s">
        <v>150</v>
      </c>
      <c r="C30" s="32" t="s">
        <v>151</v>
      </c>
      <c r="D30" s="42">
        <v>64</v>
      </c>
      <c r="E30" s="32" t="s">
        <v>159</v>
      </c>
      <c r="F30" s="42">
        <v>64</v>
      </c>
      <c r="G30" s="32" t="s">
        <v>50</v>
      </c>
      <c r="H30" s="32" t="s">
        <v>65</v>
      </c>
      <c r="I30" s="40" t="s">
        <v>160</v>
      </c>
      <c r="J30" s="40" t="s">
        <v>161</v>
      </c>
      <c r="K30" s="38" t="s">
        <v>8</v>
      </c>
      <c r="L30" s="40"/>
    </row>
    <row r="31" spans="1:12" ht="30" x14ac:dyDescent="0.25">
      <c r="A31" s="32" t="s">
        <v>25</v>
      </c>
      <c r="B31" s="32" t="s">
        <v>145</v>
      </c>
      <c r="C31" s="32" t="s">
        <v>146</v>
      </c>
      <c r="D31" s="42">
        <v>10</v>
      </c>
      <c r="E31" s="32" t="s">
        <v>162</v>
      </c>
      <c r="F31" s="42">
        <v>10</v>
      </c>
      <c r="G31" s="32" t="s">
        <v>50</v>
      </c>
      <c r="H31" s="32" t="s">
        <v>65</v>
      </c>
      <c r="I31" s="40" t="s">
        <v>163</v>
      </c>
      <c r="J31" s="40" t="s">
        <v>164</v>
      </c>
      <c r="K31" s="38" t="s">
        <v>8</v>
      </c>
      <c r="L31" s="40"/>
    </row>
  </sheetData>
  <autoFilter ref="A5:L31" xr:uid="{70AB7F62-9033-4C2F-9E0C-184DA51259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FAB7-F3A7-4A0F-90F3-806917C86DBD}">
  <dimension ref="A1:H47"/>
  <sheetViews>
    <sheetView showGridLines="0" workbookViewId="0">
      <pane ySplit="5" topLeftCell="A6" activePane="bottomLeft" state="frozenSplit"/>
      <selection pane="bottomLeft"/>
    </sheetView>
  </sheetViews>
  <sheetFormatPr defaultRowHeight="15" x14ac:dyDescent="0.25"/>
  <cols>
    <col min="1" max="1" width="11.7109375" customWidth="1"/>
    <col min="2" max="2" width="22.7109375" customWidth="1"/>
    <col min="3" max="3" width="15.7109375" customWidth="1"/>
    <col min="4" max="4" width="12.7109375" customWidth="1"/>
    <col min="5" max="5" width="16.7109375" customWidth="1"/>
    <col min="6" max="6" width="22.7109375" customWidth="1"/>
    <col min="7" max="7" width="26.7109375" customWidth="1"/>
    <col min="8" max="8" width="24.7109375" customWidth="1"/>
  </cols>
  <sheetData>
    <row r="1" spans="1:8" ht="21" x14ac:dyDescent="0.35">
      <c r="A1" s="1" t="s">
        <v>165</v>
      </c>
    </row>
    <row r="2" spans="1:8" x14ac:dyDescent="0.25">
      <c r="A2" s="2" t="s">
        <v>1</v>
      </c>
    </row>
    <row r="3" spans="1:8" x14ac:dyDescent="0.25">
      <c r="A3" s="3" t="s">
        <v>2</v>
      </c>
    </row>
    <row r="5" spans="1:8" ht="30" customHeight="1" x14ac:dyDescent="0.25">
      <c r="A5" s="11" t="s">
        <v>35</v>
      </c>
      <c r="B5" s="11" t="s">
        <v>36</v>
      </c>
      <c r="C5" s="11" t="s">
        <v>39</v>
      </c>
      <c r="D5" s="11" t="s">
        <v>41</v>
      </c>
      <c r="E5" s="11" t="s">
        <v>166</v>
      </c>
      <c r="F5" s="11" t="s">
        <v>167</v>
      </c>
      <c r="G5" s="11" t="s">
        <v>168</v>
      </c>
      <c r="H5" s="11" t="s">
        <v>169</v>
      </c>
    </row>
    <row r="6" spans="1:8" x14ac:dyDescent="0.25">
      <c r="A6" s="19" t="s">
        <v>13</v>
      </c>
      <c r="B6" s="19" t="s">
        <v>47</v>
      </c>
      <c r="C6" s="19" t="s">
        <v>49</v>
      </c>
      <c r="D6" s="19" t="s">
        <v>50</v>
      </c>
      <c r="E6" s="19" t="s">
        <v>170</v>
      </c>
      <c r="F6" s="19" t="s">
        <v>171</v>
      </c>
      <c r="G6" s="43" t="s">
        <v>172</v>
      </c>
      <c r="H6" s="19"/>
    </row>
    <row r="7" spans="1:8" x14ac:dyDescent="0.25">
      <c r="A7" s="19" t="s">
        <v>13</v>
      </c>
      <c r="B7" s="19" t="s">
        <v>47</v>
      </c>
      <c r="C7" s="19" t="s">
        <v>49</v>
      </c>
      <c r="D7" s="19" t="s">
        <v>50</v>
      </c>
      <c r="E7" s="19" t="s">
        <v>173</v>
      </c>
      <c r="F7" s="19" t="s">
        <v>171</v>
      </c>
      <c r="G7" s="44" t="s">
        <v>64</v>
      </c>
      <c r="H7" s="19"/>
    </row>
    <row r="8" spans="1:8" x14ac:dyDescent="0.25">
      <c r="A8" s="19" t="s">
        <v>13</v>
      </c>
      <c r="B8" s="19" t="s">
        <v>47</v>
      </c>
      <c r="C8" s="19" t="s">
        <v>49</v>
      </c>
      <c r="D8" s="19" t="s">
        <v>50</v>
      </c>
      <c r="E8" s="19" t="s">
        <v>174</v>
      </c>
      <c r="F8" s="19" t="s">
        <v>175</v>
      </c>
      <c r="G8" s="45" t="s">
        <v>176</v>
      </c>
      <c r="H8" s="19"/>
    </row>
    <row r="9" spans="1:8" x14ac:dyDescent="0.25">
      <c r="A9" s="19" t="s">
        <v>13</v>
      </c>
      <c r="B9" s="19" t="s">
        <v>55</v>
      </c>
      <c r="C9" s="19" t="s">
        <v>57</v>
      </c>
      <c r="D9" s="19" t="s">
        <v>50</v>
      </c>
      <c r="E9" s="19" t="s">
        <v>177</v>
      </c>
      <c r="F9" s="19" t="s">
        <v>171</v>
      </c>
      <c r="G9" s="45" t="s">
        <v>178</v>
      </c>
      <c r="H9" s="19"/>
    </row>
    <row r="10" spans="1:8" x14ac:dyDescent="0.25">
      <c r="A10" s="19" t="s">
        <v>13</v>
      </c>
      <c r="B10" s="19" t="s">
        <v>55</v>
      </c>
      <c r="C10" s="19" t="s">
        <v>57</v>
      </c>
      <c r="D10" s="19" t="s">
        <v>50</v>
      </c>
      <c r="E10" s="19" t="s">
        <v>179</v>
      </c>
      <c r="F10" s="19" t="s">
        <v>175</v>
      </c>
      <c r="G10" s="45" t="s">
        <v>176</v>
      </c>
      <c r="H10" s="19"/>
    </row>
    <row r="11" spans="1:8" x14ac:dyDescent="0.25">
      <c r="A11" s="19" t="s">
        <v>13</v>
      </c>
      <c r="B11" s="19" t="s">
        <v>61</v>
      </c>
      <c r="C11" s="19" t="s">
        <v>63</v>
      </c>
      <c r="D11" s="19" t="s">
        <v>64</v>
      </c>
      <c r="E11" s="19" t="s">
        <v>180</v>
      </c>
      <c r="F11" s="19" t="s">
        <v>171</v>
      </c>
      <c r="G11" s="44" t="s">
        <v>64</v>
      </c>
      <c r="H11" s="19"/>
    </row>
    <row r="12" spans="1:8" x14ac:dyDescent="0.25">
      <c r="A12" s="19" t="s">
        <v>13</v>
      </c>
      <c r="B12" s="19" t="s">
        <v>61</v>
      </c>
      <c r="C12" s="19" t="s">
        <v>63</v>
      </c>
      <c r="D12" s="19" t="s">
        <v>64</v>
      </c>
      <c r="E12" s="19" t="s">
        <v>181</v>
      </c>
      <c r="F12" s="19" t="s">
        <v>175</v>
      </c>
      <c r="G12" s="44" t="s">
        <v>64</v>
      </c>
      <c r="H12" s="19"/>
    </row>
    <row r="13" spans="1:8" x14ac:dyDescent="0.25">
      <c r="A13" s="19" t="s">
        <v>13</v>
      </c>
      <c r="B13" s="19" t="s">
        <v>68</v>
      </c>
      <c r="C13" s="19" t="s">
        <v>70</v>
      </c>
      <c r="D13" s="19" t="s">
        <v>71</v>
      </c>
      <c r="E13" s="19" t="s">
        <v>182</v>
      </c>
      <c r="F13" s="19" t="s">
        <v>171</v>
      </c>
      <c r="G13" s="44" t="s">
        <v>64</v>
      </c>
      <c r="H13" s="19"/>
    </row>
    <row r="14" spans="1:8" x14ac:dyDescent="0.25">
      <c r="A14" s="19" t="s">
        <v>13</v>
      </c>
      <c r="B14" s="19" t="s">
        <v>68</v>
      </c>
      <c r="C14" s="19" t="s">
        <v>70</v>
      </c>
      <c r="D14" s="19" t="s">
        <v>71</v>
      </c>
      <c r="E14" s="19" t="s">
        <v>183</v>
      </c>
      <c r="F14" s="19" t="s">
        <v>175</v>
      </c>
      <c r="G14" s="45" t="s">
        <v>176</v>
      </c>
      <c r="H14" s="19"/>
    </row>
    <row r="15" spans="1:8" x14ac:dyDescent="0.25">
      <c r="A15" s="19" t="s">
        <v>13</v>
      </c>
      <c r="B15" s="19" t="s">
        <v>74</v>
      </c>
      <c r="C15" s="19" t="s">
        <v>76</v>
      </c>
      <c r="D15" s="19" t="s">
        <v>64</v>
      </c>
      <c r="E15" s="19" t="s">
        <v>184</v>
      </c>
      <c r="F15" s="19" t="s">
        <v>171</v>
      </c>
      <c r="G15" s="44" t="s">
        <v>64</v>
      </c>
      <c r="H15" s="19"/>
    </row>
    <row r="16" spans="1:8" x14ac:dyDescent="0.25">
      <c r="A16" s="19" t="s">
        <v>13</v>
      </c>
      <c r="B16" s="19" t="s">
        <v>74</v>
      </c>
      <c r="C16" s="19" t="s">
        <v>76</v>
      </c>
      <c r="D16" s="19" t="s">
        <v>64</v>
      </c>
      <c r="E16" s="19" t="s">
        <v>185</v>
      </c>
      <c r="F16" s="19" t="s">
        <v>175</v>
      </c>
      <c r="G16" s="44" t="s">
        <v>64</v>
      </c>
      <c r="H16" s="19"/>
    </row>
    <row r="17" spans="1:8" x14ac:dyDescent="0.25">
      <c r="A17" s="19" t="s">
        <v>15</v>
      </c>
      <c r="B17" s="19" t="s">
        <v>79</v>
      </c>
      <c r="C17" s="19" t="s">
        <v>81</v>
      </c>
      <c r="D17" s="19" t="s">
        <v>64</v>
      </c>
      <c r="E17" s="19" t="s">
        <v>186</v>
      </c>
      <c r="F17" s="19" t="s">
        <v>171</v>
      </c>
      <c r="G17" s="44" t="s">
        <v>64</v>
      </c>
      <c r="H17" s="19"/>
    </row>
    <row r="18" spans="1:8" x14ac:dyDescent="0.25">
      <c r="A18" s="19" t="s">
        <v>15</v>
      </c>
      <c r="B18" s="19" t="s">
        <v>79</v>
      </c>
      <c r="C18" s="19" t="s">
        <v>81</v>
      </c>
      <c r="D18" s="19" t="s">
        <v>64</v>
      </c>
      <c r="E18" s="19" t="s">
        <v>187</v>
      </c>
      <c r="F18" s="19" t="s">
        <v>175</v>
      </c>
      <c r="G18" s="44" t="s">
        <v>64</v>
      </c>
      <c r="H18" s="19"/>
    </row>
    <row r="19" spans="1:8" x14ac:dyDescent="0.25">
      <c r="A19" s="46" t="s">
        <v>15</v>
      </c>
      <c r="B19" s="46" t="s">
        <v>84</v>
      </c>
      <c r="C19" s="46" t="s">
        <v>188</v>
      </c>
      <c r="D19" s="46" t="s">
        <v>189</v>
      </c>
      <c r="E19" s="46"/>
      <c r="F19" s="46"/>
      <c r="G19" s="46"/>
      <c r="H19" s="46" t="s">
        <v>190</v>
      </c>
    </row>
    <row r="20" spans="1:8" x14ac:dyDescent="0.25">
      <c r="A20" s="19" t="s">
        <v>17</v>
      </c>
      <c r="B20" s="19" t="s">
        <v>87</v>
      </c>
      <c r="C20" s="19" t="s">
        <v>89</v>
      </c>
      <c r="D20" s="19" t="s">
        <v>64</v>
      </c>
      <c r="E20" s="19" t="s">
        <v>191</v>
      </c>
      <c r="F20" s="19" t="s">
        <v>171</v>
      </c>
      <c r="G20" s="44" t="s">
        <v>64</v>
      </c>
      <c r="H20" s="19"/>
    </row>
    <row r="21" spans="1:8" x14ac:dyDescent="0.25">
      <c r="A21" s="19" t="s">
        <v>17</v>
      </c>
      <c r="B21" s="19" t="s">
        <v>87</v>
      </c>
      <c r="C21" s="19" t="s">
        <v>89</v>
      </c>
      <c r="D21" s="19" t="s">
        <v>64</v>
      </c>
      <c r="E21" s="19" t="s">
        <v>192</v>
      </c>
      <c r="F21" s="19" t="s">
        <v>175</v>
      </c>
      <c r="G21" s="44" t="s">
        <v>64</v>
      </c>
      <c r="H21" s="19"/>
    </row>
    <row r="22" spans="1:8" x14ac:dyDescent="0.25">
      <c r="A22" s="19" t="s">
        <v>17</v>
      </c>
      <c r="B22" s="19" t="s">
        <v>92</v>
      </c>
      <c r="C22" s="19" t="s">
        <v>94</v>
      </c>
      <c r="D22" s="19" t="s">
        <v>50</v>
      </c>
      <c r="E22" s="19" t="s">
        <v>193</v>
      </c>
      <c r="F22" s="19" t="s">
        <v>171</v>
      </c>
      <c r="G22" s="43" t="s">
        <v>172</v>
      </c>
      <c r="H22" s="19"/>
    </row>
    <row r="23" spans="1:8" x14ac:dyDescent="0.25">
      <c r="A23" s="19" t="s">
        <v>17</v>
      </c>
      <c r="B23" s="19" t="s">
        <v>92</v>
      </c>
      <c r="C23" s="19" t="s">
        <v>94</v>
      </c>
      <c r="D23" s="19" t="s">
        <v>50</v>
      </c>
      <c r="E23" s="19" t="s">
        <v>194</v>
      </c>
      <c r="F23" s="19" t="s">
        <v>175</v>
      </c>
      <c r="G23" s="45" t="s">
        <v>176</v>
      </c>
      <c r="H23" s="19"/>
    </row>
    <row r="24" spans="1:8" x14ac:dyDescent="0.25">
      <c r="A24" s="19" t="s">
        <v>17</v>
      </c>
      <c r="B24" s="19" t="s">
        <v>97</v>
      </c>
      <c r="C24" s="19" t="s">
        <v>99</v>
      </c>
      <c r="D24" s="19" t="s">
        <v>50</v>
      </c>
      <c r="E24" s="19" t="s">
        <v>195</v>
      </c>
      <c r="F24" s="19" t="s">
        <v>171</v>
      </c>
      <c r="G24" s="43" t="s">
        <v>172</v>
      </c>
      <c r="H24" s="19"/>
    </row>
    <row r="25" spans="1:8" x14ac:dyDescent="0.25">
      <c r="A25" s="19" t="s">
        <v>17</v>
      </c>
      <c r="B25" s="19" t="s">
        <v>97</v>
      </c>
      <c r="C25" s="19" t="s">
        <v>99</v>
      </c>
      <c r="D25" s="19" t="s">
        <v>50</v>
      </c>
      <c r="E25" s="19" t="s">
        <v>196</v>
      </c>
      <c r="F25" s="19" t="s">
        <v>175</v>
      </c>
      <c r="G25" s="45" t="s">
        <v>176</v>
      </c>
      <c r="H25" s="19"/>
    </row>
    <row r="26" spans="1:8" x14ac:dyDescent="0.25">
      <c r="A26" s="19" t="s">
        <v>17</v>
      </c>
      <c r="B26" s="19" t="s">
        <v>102</v>
      </c>
      <c r="C26" s="19" t="s">
        <v>104</v>
      </c>
      <c r="D26" s="19" t="s">
        <v>50</v>
      </c>
      <c r="E26" s="19" t="s">
        <v>197</v>
      </c>
      <c r="F26" s="19" t="s">
        <v>171</v>
      </c>
      <c r="G26" s="45" t="s">
        <v>178</v>
      </c>
      <c r="H26" s="19"/>
    </row>
    <row r="27" spans="1:8" x14ac:dyDescent="0.25">
      <c r="A27" s="19" t="s">
        <v>17</v>
      </c>
      <c r="B27" s="19" t="s">
        <v>102</v>
      </c>
      <c r="C27" s="19" t="s">
        <v>104</v>
      </c>
      <c r="D27" s="19" t="s">
        <v>50</v>
      </c>
      <c r="E27" s="19" t="s">
        <v>198</v>
      </c>
      <c r="F27" s="19" t="s">
        <v>175</v>
      </c>
      <c r="G27" s="45" t="s">
        <v>176</v>
      </c>
      <c r="H27" s="19"/>
    </row>
    <row r="28" spans="1:8" x14ac:dyDescent="0.25">
      <c r="A28" s="19" t="s">
        <v>18</v>
      </c>
      <c r="B28" s="19" t="s">
        <v>107</v>
      </c>
      <c r="C28" s="19" t="s">
        <v>109</v>
      </c>
      <c r="D28" s="19" t="s">
        <v>71</v>
      </c>
      <c r="E28" s="19" t="s">
        <v>199</v>
      </c>
      <c r="F28" s="19" t="s">
        <v>171</v>
      </c>
      <c r="G28" s="44" t="s">
        <v>64</v>
      </c>
      <c r="H28" s="19"/>
    </row>
    <row r="29" spans="1:8" x14ac:dyDescent="0.25">
      <c r="A29" s="19" t="s">
        <v>18</v>
      </c>
      <c r="B29" s="19" t="s">
        <v>107</v>
      </c>
      <c r="C29" s="19" t="s">
        <v>109</v>
      </c>
      <c r="D29" s="19" t="s">
        <v>71</v>
      </c>
      <c r="E29" s="19" t="s">
        <v>200</v>
      </c>
      <c r="F29" s="19" t="s">
        <v>175</v>
      </c>
      <c r="G29" s="45" t="s">
        <v>176</v>
      </c>
      <c r="H29" s="19"/>
    </row>
    <row r="30" spans="1:8" x14ac:dyDescent="0.25">
      <c r="A30" s="19" t="s">
        <v>19</v>
      </c>
      <c r="B30" s="19" t="s">
        <v>115</v>
      </c>
      <c r="C30" s="19" t="s">
        <v>117</v>
      </c>
      <c r="D30" s="19" t="s">
        <v>64</v>
      </c>
      <c r="E30" s="19" t="s">
        <v>201</v>
      </c>
      <c r="F30" s="19" t="s">
        <v>171</v>
      </c>
      <c r="G30" s="44" t="s">
        <v>64</v>
      </c>
      <c r="H30" s="19"/>
    </row>
    <row r="31" spans="1:8" x14ac:dyDescent="0.25">
      <c r="A31" s="19" t="s">
        <v>19</v>
      </c>
      <c r="B31" s="19" t="s">
        <v>115</v>
      </c>
      <c r="C31" s="19" t="s">
        <v>117</v>
      </c>
      <c r="D31" s="19" t="s">
        <v>64</v>
      </c>
      <c r="E31" s="19" t="s">
        <v>202</v>
      </c>
      <c r="F31" s="19" t="s">
        <v>175</v>
      </c>
      <c r="G31" s="44" t="s">
        <v>64</v>
      </c>
      <c r="H31" s="19"/>
    </row>
    <row r="32" spans="1:8" x14ac:dyDescent="0.25">
      <c r="A32" s="19" t="s">
        <v>19</v>
      </c>
      <c r="B32" s="19" t="s">
        <v>120</v>
      </c>
      <c r="C32" s="19" t="s">
        <v>122</v>
      </c>
      <c r="D32" s="19" t="s">
        <v>64</v>
      </c>
      <c r="E32" s="19" t="s">
        <v>203</v>
      </c>
      <c r="F32" s="19" t="s">
        <v>171</v>
      </c>
      <c r="G32" s="44" t="s">
        <v>64</v>
      </c>
      <c r="H32" s="19"/>
    </row>
    <row r="33" spans="1:8" x14ac:dyDescent="0.25">
      <c r="A33" s="19" t="s">
        <v>19</v>
      </c>
      <c r="B33" s="19" t="s">
        <v>120</v>
      </c>
      <c r="C33" s="19" t="s">
        <v>122</v>
      </c>
      <c r="D33" s="19" t="s">
        <v>64</v>
      </c>
      <c r="E33" s="19" t="s">
        <v>204</v>
      </c>
      <c r="F33" s="19" t="s">
        <v>175</v>
      </c>
      <c r="G33" s="44" t="s">
        <v>64</v>
      </c>
      <c r="H33" s="19"/>
    </row>
    <row r="34" spans="1:8" x14ac:dyDescent="0.25">
      <c r="A34" s="19" t="s">
        <v>19</v>
      </c>
      <c r="B34" s="19" t="s">
        <v>125</v>
      </c>
      <c r="C34" s="19" t="s">
        <v>127</v>
      </c>
      <c r="D34" s="19" t="s">
        <v>71</v>
      </c>
      <c r="E34" s="19" t="s">
        <v>205</v>
      </c>
      <c r="F34" s="19" t="s">
        <v>171</v>
      </c>
      <c r="G34" s="44" t="s">
        <v>64</v>
      </c>
      <c r="H34" s="19"/>
    </row>
    <row r="35" spans="1:8" x14ac:dyDescent="0.25">
      <c r="A35" s="19" t="s">
        <v>19</v>
      </c>
      <c r="B35" s="19" t="s">
        <v>125</v>
      </c>
      <c r="C35" s="19" t="s">
        <v>127</v>
      </c>
      <c r="D35" s="19" t="s">
        <v>71</v>
      </c>
      <c r="E35" s="19" t="s">
        <v>206</v>
      </c>
      <c r="F35" s="19" t="s">
        <v>175</v>
      </c>
      <c r="G35" s="45" t="s">
        <v>176</v>
      </c>
      <c r="H35" s="19"/>
    </row>
    <row r="36" spans="1:8" x14ac:dyDescent="0.25">
      <c r="A36" s="19" t="s">
        <v>19</v>
      </c>
      <c r="B36" s="19" t="s">
        <v>130</v>
      </c>
      <c r="C36" s="19" t="s">
        <v>132</v>
      </c>
      <c r="D36" s="19" t="s">
        <v>50</v>
      </c>
      <c r="E36" s="19" t="s">
        <v>207</v>
      </c>
      <c r="F36" s="19" t="s">
        <v>171</v>
      </c>
      <c r="G36" s="43" t="s">
        <v>172</v>
      </c>
      <c r="H36" s="19"/>
    </row>
    <row r="37" spans="1:8" x14ac:dyDescent="0.25">
      <c r="A37" s="19" t="s">
        <v>19</v>
      </c>
      <c r="B37" s="19" t="s">
        <v>130</v>
      </c>
      <c r="C37" s="19" t="s">
        <v>132</v>
      </c>
      <c r="D37" s="19" t="s">
        <v>50</v>
      </c>
      <c r="E37" s="19" t="s">
        <v>208</v>
      </c>
      <c r="F37" s="19" t="s">
        <v>175</v>
      </c>
      <c r="G37" s="45" t="s">
        <v>176</v>
      </c>
      <c r="H37" s="19"/>
    </row>
    <row r="38" spans="1:8" x14ac:dyDescent="0.25">
      <c r="A38" s="19" t="s">
        <v>22</v>
      </c>
      <c r="B38" s="19" t="s">
        <v>140</v>
      </c>
      <c r="C38" s="19" t="s">
        <v>142</v>
      </c>
      <c r="D38" s="19" t="s">
        <v>50</v>
      </c>
      <c r="E38" s="19" t="s">
        <v>209</v>
      </c>
      <c r="F38" s="19" t="s">
        <v>171</v>
      </c>
      <c r="G38" s="45" t="s">
        <v>178</v>
      </c>
      <c r="H38" s="19"/>
    </row>
    <row r="39" spans="1:8" x14ac:dyDescent="0.25">
      <c r="A39" s="19" t="s">
        <v>22</v>
      </c>
      <c r="B39" s="19" t="s">
        <v>140</v>
      </c>
      <c r="C39" s="19" t="s">
        <v>142</v>
      </c>
      <c r="D39" s="19" t="s">
        <v>50</v>
      </c>
      <c r="E39" s="19" t="s">
        <v>210</v>
      </c>
      <c r="F39" s="19" t="s">
        <v>175</v>
      </c>
      <c r="G39" s="45" t="s">
        <v>176</v>
      </c>
      <c r="H39" s="19"/>
    </row>
    <row r="40" spans="1:8" x14ac:dyDescent="0.25">
      <c r="A40" s="19" t="s">
        <v>23</v>
      </c>
      <c r="B40" s="19" t="s">
        <v>145</v>
      </c>
      <c r="C40" s="19" t="s">
        <v>147</v>
      </c>
      <c r="D40" s="19" t="s">
        <v>71</v>
      </c>
      <c r="E40" s="19" t="s">
        <v>211</v>
      </c>
      <c r="F40" s="19" t="s">
        <v>171</v>
      </c>
      <c r="G40" s="44" t="s">
        <v>64</v>
      </c>
      <c r="H40" s="19"/>
    </row>
    <row r="41" spans="1:8" x14ac:dyDescent="0.25">
      <c r="A41" s="19" t="s">
        <v>23</v>
      </c>
      <c r="B41" s="19" t="s">
        <v>145</v>
      </c>
      <c r="C41" s="19" t="s">
        <v>147</v>
      </c>
      <c r="D41" s="19" t="s">
        <v>71</v>
      </c>
      <c r="E41" s="19" t="s">
        <v>212</v>
      </c>
      <c r="F41" s="19" t="s">
        <v>175</v>
      </c>
      <c r="G41" s="45" t="s">
        <v>176</v>
      </c>
      <c r="H41" s="19"/>
    </row>
    <row r="42" spans="1:8" x14ac:dyDescent="0.25">
      <c r="A42" s="19" t="s">
        <v>23</v>
      </c>
      <c r="B42" s="19" t="s">
        <v>150</v>
      </c>
      <c r="C42" s="19" t="s">
        <v>152</v>
      </c>
      <c r="D42" s="19" t="s">
        <v>71</v>
      </c>
      <c r="E42" s="19" t="s">
        <v>213</v>
      </c>
      <c r="F42" s="19" t="s">
        <v>171</v>
      </c>
      <c r="G42" s="44" t="s">
        <v>64</v>
      </c>
      <c r="H42" s="19"/>
    </row>
    <row r="43" spans="1:8" x14ac:dyDescent="0.25">
      <c r="A43" s="19" t="s">
        <v>23</v>
      </c>
      <c r="B43" s="19" t="s">
        <v>150</v>
      </c>
      <c r="C43" s="19" t="s">
        <v>152</v>
      </c>
      <c r="D43" s="19" t="s">
        <v>71</v>
      </c>
      <c r="E43" s="19" t="s">
        <v>214</v>
      </c>
      <c r="F43" s="19" t="s">
        <v>175</v>
      </c>
      <c r="G43" s="45" t="s">
        <v>176</v>
      </c>
      <c r="H43" s="19"/>
    </row>
    <row r="44" spans="1:8" x14ac:dyDescent="0.25">
      <c r="A44" s="19" t="s">
        <v>25</v>
      </c>
      <c r="B44" s="19" t="s">
        <v>150</v>
      </c>
      <c r="C44" s="19" t="s">
        <v>159</v>
      </c>
      <c r="D44" s="19" t="s">
        <v>50</v>
      </c>
      <c r="E44" s="19" t="s">
        <v>215</v>
      </c>
      <c r="F44" s="19" t="s">
        <v>171</v>
      </c>
      <c r="G44" s="43" t="s">
        <v>172</v>
      </c>
      <c r="H44" s="19"/>
    </row>
    <row r="45" spans="1:8" x14ac:dyDescent="0.25">
      <c r="A45" s="19" t="s">
        <v>25</v>
      </c>
      <c r="B45" s="19" t="s">
        <v>150</v>
      </c>
      <c r="C45" s="19" t="s">
        <v>159</v>
      </c>
      <c r="D45" s="19" t="s">
        <v>50</v>
      </c>
      <c r="E45" s="19" t="s">
        <v>216</v>
      </c>
      <c r="F45" s="19" t="s">
        <v>175</v>
      </c>
      <c r="G45" s="45" t="s">
        <v>176</v>
      </c>
      <c r="H45" s="19"/>
    </row>
    <row r="46" spans="1:8" x14ac:dyDescent="0.25">
      <c r="A46" s="19" t="s">
        <v>25</v>
      </c>
      <c r="B46" s="19" t="s">
        <v>145</v>
      </c>
      <c r="C46" s="19" t="s">
        <v>162</v>
      </c>
      <c r="D46" s="19" t="s">
        <v>50</v>
      </c>
      <c r="E46" s="19" t="s">
        <v>217</v>
      </c>
      <c r="F46" s="19" t="s">
        <v>171</v>
      </c>
      <c r="G46" s="43" t="s">
        <v>172</v>
      </c>
      <c r="H46" s="19"/>
    </row>
    <row r="47" spans="1:8" x14ac:dyDescent="0.25">
      <c r="A47" s="19" t="s">
        <v>25</v>
      </c>
      <c r="B47" s="19" t="s">
        <v>145</v>
      </c>
      <c r="C47" s="19" t="s">
        <v>162</v>
      </c>
      <c r="D47" s="19" t="s">
        <v>50</v>
      </c>
      <c r="E47" s="19" t="s">
        <v>218</v>
      </c>
      <c r="F47" s="19" t="s">
        <v>175</v>
      </c>
      <c r="G47" s="45" t="s">
        <v>176</v>
      </c>
      <c r="H47" s="19"/>
    </row>
  </sheetData>
  <autoFilter ref="A5:H47" xr:uid="{C34DFAB7-F3A7-4A0F-90F3-806917C86D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Shipment Status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</dc:creator>
  <cp:lastModifiedBy>Nel</cp:lastModifiedBy>
  <dcterms:created xsi:type="dcterms:W3CDTF">2026-10-19T03:34:25Z</dcterms:created>
  <dcterms:modified xsi:type="dcterms:W3CDTF">2026-10-19T03:34:54Z</dcterms:modified>
</cp:coreProperties>
</file>